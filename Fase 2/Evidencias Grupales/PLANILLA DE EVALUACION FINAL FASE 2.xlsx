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24\"/>
    </mc:Choice>
  </mc:AlternateContent>
  <xr:revisionPtr revIDLastSave="0" documentId="13_ncr:1_{43F2A025-5524-4D5E-AC77-F6F7C818A818}"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I41" i="1"/>
  <c r="F41" i="1"/>
  <c r="G41" i="1" s="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I29" i="1"/>
  <c r="F29" i="1"/>
  <c r="G29" i="1" s="1"/>
  <c r="E29" i="1"/>
  <c r="J30" i="1"/>
  <c r="K30" i="1" s="1"/>
  <c r="H30" i="1"/>
  <c r="I30" i="1" s="1"/>
  <c r="F30" i="1"/>
  <c r="G30" i="1" s="1"/>
  <c r="D30" i="1"/>
  <c r="E30" i="1" s="1"/>
  <c r="C43" i="1" l="1"/>
  <c r="C44" i="1" s="1"/>
  <c r="C54" i="1"/>
  <c r="C55" i="1" s="1"/>
  <c r="E31" i="1"/>
  <c r="G31" i="1"/>
  <c r="I31" i="1"/>
  <c r="K31" i="1"/>
  <c r="D13" i="1"/>
  <c r="E13" i="1" s="1"/>
  <c r="D14" i="1"/>
  <c r="E14" i="1" s="1"/>
  <c r="D15" i="1"/>
  <c r="E15" i="1" s="1"/>
  <c r="E16" i="1"/>
  <c r="E17" i="1"/>
  <c r="D18" i="1"/>
  <c r="E18" i="1" s="1"/>
  <c r="F19" i="1"/>
  <c r="G19" i="1" s="1"/>
  <c r="D19" i="1" l="1"/>
  <c r="E19" i="1" s="1"/>
  <c r="H19" i="1"/>
  <c r="I19" i="1" s="1"/>
  <c r="J19" i="1"/>
  <c r="K19" i="1" s="1"/>
  <c r="F16" i="1"/>
  <c r="G16" i="1" s="1"/>
  <c r="I16" i="1"/>
  <c r="J16" i="1"/>
  <c r="K16" i="1" s="1"/>
  <c r="C24" i="1"/>
  <c r="J18" i="1"/>
  <c r="K18" i="1" s="1"/>
  <c r="H18" i="1"/>
  <c r="I18" i="1" s="1"/>
  <c r="F18" i="1"/>
  <c r="G18" i="1" s="1"/>
  <c r="J17" i="1"/>
  <c r="K17" i="1" s="1"/>
  <c r="H17" i="1"/>
  <c r="I17" i="1" s="1"/>
  <c r="G17" i="1"/>
  <c r="J15" i="1"/>
  <c r="K15" i="1" s="1"/>
  <c r="H15" i="1"/>
  <c r="I15" i="1" s="1"/>
  <c r="F15" i="1"/>
  <c r="G15" i="1" s="1"/>
  <c r="J14" i="1"/>
  <c r="H14" i="1"/>
  <c r="I14" i="1" s="1"/>
  <c r="F14" i="1"/>
  <c r="G14" i="1" s="1"/>
  <c r="J13" i="1"/>
  <c r="K13" i="1" s="1"/>
  <c r="H13" i="1"/>
  <c r="I13" i="1" s="1"/>
  <c r="F13" i="1"/>
  <c r="G13" i="1" s="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<sst xmlns="http://schemas.openxmlformats.org/spreadsheetml/2006/main" count="145" uniqueCount="80">
  <si>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</si>
  <si>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</si>
  <si>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</si>
  <si>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</si>
  <si>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</si>
  <si>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</si>
  <si>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</si>
  <si>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</si>
  <si>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</si>
  <si>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</si>
  <si>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</si>
  <si>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</si>
  <si>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</si>
  <si>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</si>
  <si>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</si>
  <si>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</si>
  <si>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</si>
  <si>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</si>
  <si>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</si>
  <si>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</si>
  <si>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</si>
  <si>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</si>
  <si>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</si>
  <si>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</si>
  <si>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</si>
  <si>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</si>
  <si>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</si>
  <si>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</si>
  <si>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</si>
  <si>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</si>
  <si>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</si>
  <si>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</si>
  <si>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</si>
  <si>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</si>
  <si>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</si>
  <si>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</si>
  <si>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</si>
  <si>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</si>
  <si>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</si>
  <si>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</si>
  <si>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</si>
  <si>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</si>
  <si>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</si>
  <si>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</si>
  <si>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</si>
  <si>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</si>
  <si>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</si>
  <si>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</si>
  <si>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</si>
  <si>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</si>
  <si>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</si>
  <si>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</si>
  <si>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</si>
  <si>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</si>
  <si>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</si>
  <si>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</si>
  <si>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</si>
  <si>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</si>
  <si>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</si>
  <si>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</si>
  <si>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</si>
  <si>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</si>
  <si>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</si>
  <si>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</si>
  <si>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</si>
  <si>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</si>
  <si>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</si>
  <si>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</si>
  <si>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</si>
  <si>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</si>
  <si>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</si>
  <si>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</si>
  <si>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</si>
  <si>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</si>
  <si>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</si>
  <si>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</si>
  <si>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LARA ROMERO GONZALO IGNACIO</t>
  </si>
  <si>
    <t>LARA ROMERO MATIAS IGNACIO</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</si>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</sst>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41" sqref="F4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6.5</v>
      </c>
      <c r="D4" s="5">
        <f>$C$32</f>
        <v>4.9000000000000004</v>
      </c>
      <c r="E4" s="6">
        <f>C4*C$2+D4*D$2</f>
        <v>6.1</v>
      </c>
      <c r="G4" s="1"/>
    </row>
    <row r="5" spans="1:11" x14ac:dyDescent="0.25">
      <c r="A5" s="4">
        <v>2</v>
      </c>
      <c r="B5" s="73" t="s">
        <v>77</v>
      </c>
      <c r="C5" s="5">
        <f>EVALUACION1!$C$21</f>
        <v>6.5</v>
      </c>
      <c r="D5" s="5">
        <f>C44</f>
        <v>4.9000000000000004</v>
      </c>
      <c r="E5" s="6">
        <f t="shared" ref="E5:E6" si="0">C5*C$2+D5*D$2</f>
        <v>6.1</v>
      </c>
      <c r="G5" s="1"/>
    </row>
    <row r="6" spans="1:11" x14ac:dyDescent="0.25">
      <c r="A6" s="4"/>
      <c r="B6" s="27"/>
      <c r="C6" s="5"/>
      <c r="D6" s="5"/>
      <c r="E6" s="6"/>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
        <v>79</v>
      </c>
      <c r="E16" s="16" t="str">
        <f>IF(D16="X",100*0.05,"")</f>
        <v/>
      </c>
      <c r="F16" s="16" t="str">
        <f t="shared" si="2"/>
        <v/>
      </c>
      <c r="G16" s="16" t="str">
        <f>IF(F16="X",60*0.05,"")</f>
        <v/>
      </c>
      <c r="H16" s="16" t="s">
        <v>78</v>
      </c>
      <c r="I16" s="16">
        <f>IF(H16="X",30*0.05,"")</f>
        <v>1.5</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
        <v>79</v>
      </c>
      <c r="E17" s="16" t="str">
        <f>IF(D17="X",100*0.05,"")</f>
        <v/>
      </c>
      <c r="F17" s="16" t="s">
        <v>78</v>
      </c>
      <c r="G17" s="16">
        <f>IF(F17="X",60*0.05,"")</f>
        <v>3</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69.5</v>
      </c>
      <c r="D20" s="19"/>
      <c r="E20" s="19">
        <f>SUM(E13:E19)</f>
        <v>65</v>
      </c>
      <c r="F20" s="19"/>
      <c r="G20" s="19">
        <f>SUM(G13:G19)</f>
        <v>3</v>
      </c>
      <c r="H20" s="19"/>
      <c r="I20" s="19">
        <f>SUM(I13:I19)</f>
        <v>1.5</v>
      </c>
      <c r="J20" s="19"/>
      <c r="K20" s="19">
        <f>SUM(K13:K19)</f>
        <v>0</v>
      </c>
    </row>
    <row r="21" spans="1:11" ht="15.75" customHeight="1" outlineLevel="1" x14ac:dyDescent="0.3">
      <c r="A21" s="54"/>
      <c r="B21" s="32" t="s">
        <v>67</v>
      </c>
      <c r="C21" s="20">
        <f>VLOOKUP(C20,ESCALA_IEP!A1:B152,2,FALSE)</f>
        <v>6.5</v>
      </c>
    </row>
    <row r="22" spans="1:11" ht="15.75" customHeight="1" x14ac:dyDescent="0.25"/>
    <row r="23" spans="1:11" ht="15.75" customHeight="1" x14ac:dyDescent="0.25"/>
    <row r="24" spans="1:11" ht="15.75" customHeight="1" x14ac:dyDescent="0.25">
      <c r="A24" s="64" t="s">
        <v>59</v>
      </c>
      <c r="B24" s="53" t="s">
        <v>68</v>
      </c>
      <c r="C24" s="56" t="str">
        <f>$B$4</f>
        <v>LARA ROMERO GONZALO IGNACIO</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
        <v>79</v>
      </c>
      <c r="E29" s="16" t="str">
        <f>IF(D29="X",100*0.1,"")</f>
        <v/>
      </c>
      <c r="F29" s="16" t="str">
        <f t="shared" si="8"/>
        <v/>
      </c>
      <c r="G29" s="16" t="str">
        <f>IF(F29="X",60*0.1,"")</f>
        <v/>
      </c>
      <c r="H29" s="16" t="s">
        <v>78</v>
      </c>
      <c r="I29" s="16">
        <f>IF(H29="X",30*0.1,"")</f>
        <v>3</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18</v>
      </c>
      <c r="D31" s="19"/>
      <c r="E31" s="19">
        <f>SUM(E28:E30)</f>
        <v>15</v>
      </c>
      <c r="F31" s="19"/>
      <c r="G31" s="19">
        <f>SUM(G28:G30)</f>
        <v>0</v>
      </c>
      <c r="H31" s="19"/>
      <c r="I31" s="19">
        <f>SUM(I28:I30)</f>
        <v>3</v>
      </c>
      <c r="J31" s="19"/>
      <c r="K31" s="19">
        <f>SUM(K29:K30)</f>
        <v>0</v>
      </c>
    </row>
    <row r="32" spans="1:11" ht="15.75" customHeight="1" x14ac:dyDescent="0.3">
      <c r="A32" s="54"/>
      <c r="B32" s="17" t="s">
        <v>67</v>
      </c>
      <c r="C32" s="20">
        <f>VLOOKUP(C31,ESCALA_TRAB_EQUIP!A1:B52,2,FALSE)</f>
        <v>4.9000000000000004</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LARA ROMERO MATIAS IGNACIO</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
        <v>79</v>
      </c>
      <c r="E41" s="16" t="str">
        <f>IF(D41="X",100*0.1,"")</f>
        <v/>
      </c>
      <c r="F41" s="16" t="str">
        <f t="shared" si="13"/>
        <v/>
      </c>
      <c r="G41" s="16" t="str">
        <f>IF(F41="X",60*0.1,"")</f>
        <v/>
      </c>
      <c r="H41" s="16" t="s">
        <v>78</v>
      </c>
      <c r="I41" s="16">
        <f>IF(H41="X",30*0.1,"")</f>
        <v>3</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18</v>
      </c>
      <c r="D43" s="19"/>
      <c r="E43" s="19">
        <f>SUM(E40:E42)</f>
        <v>15</v>
      </c>
      <c r="F43" s="19"/>
      <c r="G43" s="19">
        <f>SUM(G40:G42)</f>
        <v>0</v>
      </c>
      <c r="H43" s="19"/>
      <c r="I43" s="19">
        <f>SUM(I40:I42)</f>
        <v>3</v>
      </c>
      <c r="J43" s="19"/>
      <c r="K43" s="19">
        <f>SUM(K41:K42)</f>
        <v>0</v>
      </c>
    </row>
    <row r="44" spans="1:11" ht="15.75" customHeight="1" x14ac:dyDescent="0.3">
      <c r="A44" s="54"/>
      <c r="B44" s="17" t="s">
        <v>67</v>
      </c>
      <c r="C44" s="20">
        <f>VLOOKUP(C43,ESCALA_TRAB_EQUIP!A1:B52,2,FALSE)</f>
        <v>4.9000000000000004</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2025-11-26T22:57:49Z</dcterms:modified>
  <cp:category/>
  <cp:contentStatus/>
</cp:coreProperties>
</file>